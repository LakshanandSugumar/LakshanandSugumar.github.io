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ugua\Desktop\Datasheets\"/>
    </mc:Choice>
  </mc:AlternateContent>
  <xr:revisionPtr revIDLastSave="0" documentId="8_{C90984A3-8537-4597-B14A-92E32B1B629F}" xr6:coauthVersionLast="47" xr6:coauthVersionMax="47" xr10:uidLastSave="{00000000-0000-0000-0000-000000000000}"/>
  <bookViews>
    <workbookView xWindow="-110" yWindow="-110" windowWidth="29020" windowHeight="18220" xr2:uid="{00000000-000D-0000-FFFF-FFFF00000000}"/>
  </bookViews>
  <sheets>
    <sheet name="Power Budg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F15" i="1" l="1"/>
  <c r="F16" i="1" s="1"/>
  <c r="F26" i="1" l="1"/>
  <c r="F27" i="1" s="1"/>
  <c r="F21" i="1"/>
</calcChain>
</file>

<file path=xl/sharedStrings.xml><?xml version="1.0" encoding="utf-8"?>
<sst xmlns="http://schemas.openxmlformats.org/spreadsheetml/2006/main" count="51" uniqueCount="41">
  <si>
    <t>Power Budget - PIC18F57Q43 System</t>
  </si>
  <si>
    <t>A. List ALL major components (excluding passives &amp; regulators)</t>
  </si>
  <si>
    <t>Component Name</t>
  </si>
  <si>
    <t>Part Number</t>
  </si>
  <si>
    <t>Supply (V)</t>
  </si>
  <si>
    <t>#</t>
  </si>
  <si>
    <t>Absolute (mA)</t>
  </si>
  <si>
    <t>Total (mA)</t>
  </si>
  <si>
    <t>Unit</t>
  </si>
  <si>
    <t>Microcontroller</t>
  </si>
  <si>
    <t>PIC18F57Q43</t>
  </si>
  <si>
    <t>mA</t>
  </si>
  <si>
    <t>OLED Display</t>
  </si>
  <si>
    <t>SH1106</t>
  </si>
  <si>
    <t>Temp/Humidity Sensor (heater ON worst-case)</t>
  </si>
  <si>
    <t>HDC2080</t>
  </si>
  <si>
    <t>Programmer (target not powering)</t>
  </si>
  <si>
    <t>MPLAB Snap</t>
  </si>
  <si>
    <t>Status LED</t>
  </si>
  <si>
    <t>LED</t>
  </si>
  <si>
    <t>User LEDs (2)</t>
  </si>
  <si>
    <t>LED x2</t>
  </si>
  <si>
    <t>Push Button (pull-up current)</t>
  </si>
  <si>
    <t>-</t>
  </si>
  <si>
    <t>Subtotal (mA)</t>
  </si>
  <si>
    <t>Safety Margin (20%)</t>
  </si>
  <si>
    <t>Total Current Required on +3.3V Rail (mA)</t>
  </si>
  <si>
    <t>B. 3.3V Regulator Selection</t>
  </si>
  <si>
    <t>Input Range</t>
  </si>
  <si>
    <t>Max Output (mA)</t>
  </si>
  <si>
    <t>Buck Switching Regulator</t>
  </si>
  <si>
    <t>AP63203WU-7</t>
  </si>
  <si>
    <t>3.8V–32V</t>
  </si>
  <si>
    <t>Remaining Current Available (mA)</t>
  </si>
  <si>
    <t>C. External Power Source</t>
  </si>
  <si>
    <t>Output (V)</t>
  </si>
  <si>
    <t>Max Current (mA)</t>
  </si>
  <si>
    <t>9V AC-DC Wall Adapter</t>
  </si>
  <si>
    <t>WSU090-2500</t>
  </si>
  <si>
    <t>Estimated Input Current (mA)</t>
  </si>
  <si>
    <t>Remaining Current on Adapter (mA)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</si>
</sst>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F200"/>
        <bgColor rgb="FFFFF2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2" fillId="0" borderId="0" xfId="0" applyFont="1"/>
    <xf numFmtId="0" fontId="2" fillId="3" borderId="0" xfId="0" applyFont="1" applyFill="1"/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sqref="A1:G1"/>
    </sheetView>
  </sheetViews>
  <sheetFormatPr defaultRowHeight="14.5" x14ac:dyDescent="0.35"/>
  <cols>
    <col min="1" max="7" width="24" customWidth="1"/>
  </cols>
  <sheetData>
    <row r="1" spans="1:7" ht="18.5" x14ac:dyDescent="0.45">
      <c r="A1" s="6" t="s">
        <v>0</v>
      </c>
      <c r="B1" s="5"/>
      <c r="C1" s="5"/>
      <c r="D1" s="5"/>
      <c r="E1" s="5"/>
      <c r="F1" s="5"/>
      <c r="G1" s="5"/>
    </row>
    <row r="3" spans="1:7" x14ac:dyDescent="0.35">
      <c r="A3" s="4" t="s">
        <v>1</v>
      </c>
      <c r="B3" s="5"/>
      <c r="C3" s="5"/>
      <c r="D3" s="5"/>
      <c r="E3" s="5"/>
      <c r="F3" s="5"/>
      <c r="G3" s="5"/>
    </row>
    <row r="4" spans="1:7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35">
      <c r="A5" s="2" t="s">
        <v>9</v>
      </c>
      <c r="B5" s="2" t="s">
        <v>10</v>
      </c>
      <c r="C5" s="2">
        <v>3.3</v>
      </c>
      <c r="D5" s="2">
        <v>1</v>
      </c>
      <c r="E5" s="2">
        <v>30</v>
      </c>
      <c r="F5" s="2">
        <v>30</v>
      </c>
      <c r="G5" s="2" t="s">
        <v>11</v>
      </c>
    </row>
    <row r="6" spans="1:7" x14ac:dyDescent="0.35">
      <c r="A6" s="2" t="s">
        <v>12</v>
      </c>
      <c r="B6" s="2" t="s">
        <v>13</v>
      </c>
      <c r="C6" s="2">
        <v>3.3</v>
      </c>
      <c r="D6" s="2">
        <v>1</v>
      </c>
      <c r="E6" s="2">
        <v>100</v>
      </c>
      <c r="F6" s="2">
        <v>100</v>
      </c>
      <c r="G6" s="2" t="s">
        <v>11</v>
      </c>
    </row>
    <row r="7" spans="1:7" x14ac:dyDescent="0.35">
      <c r="A7" s="2" t="s">
        <v>14</v>
      </c>
      <c r="B7" s="2" t="s">
        <v>15</v>
      </c>
      <c r="C7" s="2">
        <v>3.3</v>
      </c>
      <c r="D7" s="2">
        <v>1</v>
      </c>
      <c r="E7" s="2">
        <v>90</v>
      </c>
      <c r="F7" s="2">
        <v>90</v>
      </c>
      <c r="G7" s="2" t="s">
        <v>11</v>
      </c>
    </row>
    <row r="8" spans="1:7" x14ac:dyDescent="0.35">
      <c r="A8" s="2" t="s">
        <v>16</v>
      </c>
      <c r="B8" s="2" t="s">
        <v>17</v>
      </c>
      <c r="C8" s="2">
        <v>3.3</v>
      </c>
      <c r="D8" s="2">
        <v>1</v>
      </c>
      <c r="E8" s="2">
        <v>0</v>
      </c>
      <c r="F8" s="2">
        <v>0</v>
      </c>
      <c r="G8" s="2" t="s">
        <v>11</v>
      </c>
    </row>
    <row r="9" spans="1:7" x14ac:dyDescent="0.35">
      <c r="A9" s="2" t="s">
        <v>18</v>
      </c>
      <c r="B9" s="2" t="s">
        <v>19</v>
      </c>
      <c r="C9" s="2">
        <v>3.3</v>
      </c>
      <c r="D9" s="2">
        <v>1</v>
      </c>
      <c r="E9" s="2">
        <v>10</v>
      </c>
      <c r="F9" s="2">
        <v>10</v>
      </c>
      <c r="G9" s="2" t="s">
        <v>11</v>
      </c>
    </row>
    <row r="10" spans="1:7" x14ac:dyDescent="0.35">
      <c r="A10" s="2" t="s">
        <v>20</v>
      </c>
      <c r="B10" s="2" t="s">
        <v>21</v>
      </c>
      <c r="C10" s="2">
        <v>3.3</v>
      </c>
      <c r="D10" s="2">
        <v>2</v>
      </c>
      <c r="E10" s="2">
        <v>3</v>
      </c>
      <c r="F10" s="2">
        <v>6</v>
      </c>
      <c r="G10" s="2" t="s">
        <v>11</v>
      </c>
    </row>
    <row r="11" spans="1:7" x14ac:dyDescent="0.35">
      <c r="A11" s="2" t="s">
        <v>22</v>
      </c>
      <c r="B11" s="2" t="s">
        <v>23</v>
      </c>
      <c r="C11" s="2">
        <v>3.3</v>
      </c>
      <c r="D11" s="2">
        <v>1</v>
      </c>
      <c r="E11" s="2">
        <v>0.33</v>
      </c>
      <c r="F11" s="2">
        <v>0.33</v>
      </c>
      <c r="G11" s="2" t="s">
        <v>11</v>
      </c>
    </row>
    <row r="14" spans="1:7" x14ac:dyDescent="0.35">
      <c r="E14" s="3" t="s">
        <v>24</v>
      </c>
      <c r="F14">
        <f>SUM(F5:F11)</f>
        <v>236.33</v>
      </c>
    </row>
    <row r="15" spans="1:7" x14ac:dyDescent="0.35">
      <c r="E15" s="3" t="s">
        <v>25</v>
      </c>
      <c r="F15">
        <f>F14*0.2</f>
        <v>47.266000000000005</v>
      </c>
    </row>
    <row r="16" spans="1:7" x14ac:dyDescent="0.35">
      <c r="E16" s="3" t="s">
        <v>26</v>
      </c>
      <c r="F16">
        <f>F14+F15</f>
        <v>283.596</v>
      </c>
    </row>
    <row r="18" spans="1:7" x14ac:dyDescent="0.35">
      <c r="A18" s="4" t="s">
        <v>27</v>
      </c>
      <c r="B18" s="5"/>
      <c r="C18" s="5"/>
      <c r="D18" s="5"/>
      <c r="E18" s="5"/>
      <c r="F18" s="5"/>
      <c r="G18" s="5"/>
    </row>
    <row r="19" spans="1:7" x14ac:dyDescent="0.35">
      <c r="A19" s="1" t="s">
        <v>2</v>
      </c>
      <c r="B19" s="1" t="s">
        <v>3</v>
      </c>
      <c r="C19" s="1" t="s">
        <v>28</v>
      </c>
      <c r="D19" s="1" t="s">
        <v>29</v>
      </c>
    </row>
    <row r="20" spans="1:7" x14ac:dyDescent="0.35">
      <c r="A20" s="2" t="s">
        <v>30</v>
      </c>
      <c r="B20" s="2" t="s">
        <v>31</v>
      </c>
      <c r="C20" s="2" t="s">
        <v>32</v>
      </c>
      <c r="D20" s="2">
        <v>2000</v>
      </c>
    </row>
    <row r="21" spans="1:7" x14ac:dyDescent="0.35">
      <c r="E21" s="3" t="s">
        <v>33</v>
      </c>
      <c r="F21">
        <f>D20-F16</f>
        <v>1716.404</v>
      </c>
    </row>
    <row r="23" spans="1:7" x14ac:dyDescent="0.35">
      <c r="A23" s="4" t="s">
        <v>34</v>
      </c>
      <c r="B23" s="5"/>
      <c r="C23" s="5"/>
      <c r="D23" s="5"/>
      <c r="E23" s="5"/>
      <c r="F23" s="5"/>
      <c r="G23" s="5"/>
    </row>
    <row r="24" spans="1:7" x14ac:dyDescent="0.35">
      <c r="A24" s="1" t="s">
        <v>2</v>
      </c>
      <c r="B24" s="1" t="s">
        <v>3</v>
      </c>
      <c r="C24" s="1" t="s">
        <v>35</v>
      </c>
      <c r="D24" s="1" t="s">
        <v>36</v>
      </c>
    </row>
    <row r="25" spans="1:7" x14ac:dyDescent="0.35">
      <c r="A25" s="2" t="s">
        <v>37</v>
      </c>
      <c r="B25" s="2" t="s">
        <v>38</v>
      </c>
      <c r="C25" s="2">
        <v>9</v>
      </c>
      <c r="D25" s="2">
        <v>2500</v>
      </c>
    </row>
    <row r="26" spans="1:7" x14ac:dyDescent="0.35">
      <c r="E26" s="3" t="s">
        <v>39</v>
      </c>
      <c r="F26">
        <f>(F16*3.3/9)/0.85</f>
        <v>122.33552941176471</v>
      </c>
    </row>
    <row r="27" spans="1:7" x14ac:dyDescent="0.35">
      <c r="E27" s="3" t="s">
        <v>40</v>
      </c>
      <c r="F27">
        <f>D25-F26</f>
        <v>2377.6644705882354</v>
      </c>
    </row>
  </sheetData>
  <mergeCells count="4">
    <mergeCell ref="A3:G3"/>
    <mergeCell ref="A23:G23"/>
    <mergeCell ref="A1:G1"/>
    <mergeCell ref="A18:G1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Lakshanand Sugumar</cp:lastModifiedBy>
  <cp:lastPrinted>2026-03-06T19:59:12Z</cp:lastPrinted>
  <dcterms:created xsi:type="dcterms:W3CDTF">2026-02-26T04:50:37Z</dcterms:created>
  <dcterms:modified xsi:type="dcterms:W3CDTF">2026-03-06T20:08:18Z</dcterms:modified>
</cp:coreProperties>
</file>